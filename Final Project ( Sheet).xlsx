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7301D3D-A681-48D1-9CF2-DADFC116208F}" xr6:coauthVersionLast="47" xr6:coauthVersionMax="47" xr10:uidLastSave="{00000000-0000-0000-0000-000000000000}"/>
  <bookViews>
    <workbookView xWindow="-120" yWindow="-120" windowWidth="20730" windowHeight="11160" activeTab="1" xr2:uid="{4D068024-0E18-4512-A6B0-FEA90D9A1E4A}"/>
  </bookViews>
  <sheets>
    <sheet name="Sheet2" sheetId="2" r:id="rId1"/>
    <sheet name="Sheet1" sheetId="1" r:id="rId2"/>
  </sheets>
  <definedNames>
    <definedName name="_xlchart.v1.0" hidden="1">Sheet1!$A$1:$L$32</definedName>
    <definedName name="_xlchart.v1.1" hidden="1">Sheet1!$A$33:$L$33</definedName>
    <definedName name="_xlcn.WorksheetConnection_Sheet1A1L32" hidden="1">Sheet1!$A$1:$L$32</definedName>
  </definedNames>
  <calcPr calcId="191029"/>
  <pivotCaches>
    <pivotCache cacheId="42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L$32"/>
        </x15:modelTables>
      </x15:dataModel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B56DAA-2A25-4723-897C-D995607EFDB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9F9462F-97CA-4CE4-957A-8DC5857D5D27}" name="WorksheetConnection_Sheet1!$A$1:$L$3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L32"/>
        </x15:connection>
      </ext>
    </extLst>
  </connection>
</connections>
</file>

<file path=xl/sharedStrings.xml><?xml version="1.0" encoding="utf-8"?>
<sst xmlns="http://schemas.openxmlformats.org/spreadsheetml/2006/main" count="82" uniqueCount="53">
  <si>
    <t>Student Name</t>
  </si>
  <si>
    <t>Umer Farooq</t>
  </si>
  <si>
    <t>Shafiq Ahmad</t>
  </si>
  <si>
    <t>Usama</t>
  </si>
  <si>
    <t>Ahmad</t>
  </si>
  <si>
    <t>Abuzar</t>
  </si>
  <si>
    <t>Ali Ahmad</t>
  </si>
  <si>
    <t>Usman Ali</t>
  </si>
  <si>
    <t>Furqan</t>
  </si>
  <si>
    <t>Munzir</t>
  </si>
  <si>
    <t>Haroon</t>
  </si>
  <si>
    <t>Ahmad Hassan</t>
  </si>
  <si>
    <t>Haris</t>
  </si>
  <si>
    <t>Abdullah Aftab</t>
  </si>
  <si>
    <t>Sufyan</t>
  </si>
  <si>
    <t>Zain Ali</t>
  </si>
  <si>
    <t>Ali Haider</t>
  </si>
  <si>
    <t>Zaran</t>
  </si>
  <si>
    <t>Kaif Hassan</t>
  </si>
  <si>
    <t>Abid</t>
  </si>
  <si>
    <t>Mustafa</t>
  </si>
  <si>
    <t>Saifullah</t>
  </si>
  <si>
    <t>Arsam</t>
  </si>
  <si>
    <t>Arham</t>
  </si>
  <si>
    <t>Sohaib</t>
  </si>
  <si>
    <t>Anas Shabaz</t>
  </si>
  <si>
    <t>Rehan</t>
  </si>
  <si>
    <t>Farhan</t>
  </si>
  <si>
    <t>Adnan</t>
  </si>
  <si>
    <t>Ayan</t>
  </si>
  <si>
    <t>Islamiyat</t>
  </si>
  <si>
    <t>English</t>
  </si>
  <si>
    <t>Science</t>
  </si>
  <si>
    <t>Urdu</t>
  </si>
  <si>
    <t>Math</t>
  </si>
  <si>
    <t>Total</t>
  </si>
  <si>
    <t>Obtained</t>
  </si>
  <si>
    <t>Maximam</t>
  </si>
  <si>
    <t>Minimum</t>
  </si>
  <si>
    <t>Average</t>
  </si>
  <si>
    <t xml:space="preserve">Grades </t>
  </si>
  <si>
    <t>Row Labels</t>
  </si>
  <si>
    <t>0</t>
  </si>
  <si>
    <t>Grand Total</t>
  </si>
  <si>
    <t>Sum of Islamiyat</t>
  </si>
  <si>
    <t>Sum of English</t>
  </si>
  <si>
    <t>Sum of Science</t>
  </si>
  <si>
    <t>Sum of Urdu</t>
  </si>
  <si>
    <t>Sum of Math</t>
  </si>
  <si>
    <t>Sum of Total</t>
  </si>
  <si>
    <t>Sum of Obtained</t>
  </si>
  <si>
    <t>Sum of Average</t>
  </si>
  <si>
    <t>Muhammad 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</si>
</sst>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i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97.264433912038" backgroundQuery="1" createdVersion="8" refreshedVersion="8" minRefreshableVersion="3" recordCount="0" supportSubquery="1" supportAdvancedDrill="1" xr:uid="{87256381-5F41-4B52-A2CC-5DC1AAD2ADED}">
  <cacheSource type="external" connectionId="1"/>
  <cacheFields count="9">
    <cacheField name="[Range].[Student Name].[Student Name]" caption="Student Name" numFmtId="0" level="1">
      <sharedItems count="30">
        <s v="0"/>
        <s v="Abdullah Aftab"/>
        <s v="Abid"/>
        <s v="Abuzar"/>
        <s v="Adnan"/>
        <s v="Ahmad"/>
        <s v="Ahmad Hassan"/>
        <s v="Ali Ahmad"/>
        <s v="Ali Haider"/>
        <s v="Anas Shabaz"/>
        <s v="Arham"/>
        <s v="Arsam"/>
        <s v="Ayan"/>
        <s v="Farhan"/>
        <s v="Furqan"/>
        <s v="Haris"/>
        <s v="Haroon"/>
        <s v="Kaif Hassan"/>
        <s v="Munzir"/>
        <s v="Mustafa"/>
        <s v="Rehan"/>
        <s v="Saifullah"/>
        <s v="Shafiq Ahmad"/>
        <s v="Sohaib"/>
        <s v="Sufyan"/>
        <s v="Umer Farooq"/>
        <s v="Usama"/>
        <s v="Usman Ali"/>
        <s v="Zain Ali"/>
        <s v="Zaran"/>
      </sharedItems>
    </cacheField>
    <cacheField name="[Measures].[Sum of Islamiyat]" caption="Sum of Islamiyat" numFmtId="0" hierarchy="14" level="32767"/>
    <cacheField name="[Measures].[Sum of English]" caption="Sum of English" numFmtId="0" hierarchy="15" level="32767"/>
    <cacheField name="[Measures].[Sum of Science]" caption="Sum of Science" numFmtId="0" hierarchy="16" level="32767"/>
    <cacheField name="[Measures].[Sum of Urdu]" caption="Sum of Urdu" numFmtId="0" hierarchy="17" level="32767"/>
    <cacheField name="[Measures].[Sum of Math]" caption="Sum of Math" numFmtId="0" hierarchy="18" level="32767"/>
    <cacheField name="[Measures].[Sum of Total]" caption="Sum of Total" numFmtId="0" hierarchy="19" level="32767"/>
    <cacheField name="[Measures].[Sum of Obtained]" caption="Sum of Obtained" numFmtId="0" hierarchy="20" level="32767"/>
    <cacheField name="[Measures].[Sum of Average]" caption="Sum of Average" numFmtId="0" hierarchy="21" level="32767"/>
  </cacheFields>
  <cacheHierarchies count="22">
    <cacheHierarchy uniqueName="[Range].[Student Name]" caption="Student Name" attribute="1" defaultMemberUniqueName="[Range].[Student Name].[All]" allUniqueName="[Range].[Student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slamiyat]" caption="Islamiyat" attribute="1" defaultMemberUniqueName="[Range].[Islamiyat].[All]" allUniqueName="[Range].[Islamiyat].[All]" dimensionUniqueName="[Range]" displayFolder="" count="0" memberValueDatatype="20" unbalanced="0"/>
    <cacheHierarchy uniqueName="[Range].[English]" caption="English" attribute="1" defaultMemberUniqueName="[Range].[English].[All]" allUniqueName="[Range].[English].[All]" dimensionUniqueName="[Range]" displayFolder="" count="0" memberValueDatatype="20" unbalanced="0"/>
    <cacheHierarchy uniqueName="[Range].[Science]" caption="Science" attribute="1" defaultMemberUniqueName="[Range].[Science].[All]" allUniqueName="[Range].[Science].[All]" dimensionUniqueName="[Range]" displayFolder="" count="0" memberValueDatatype="20" unbalanced="0"/>
    <cacheHierarchy uniqueName="[Range].[Urdu]" caption="Urdu" attribute="1" defaultMemberUniqueName="[Range].[Urdu].[All]" allUniqueName="[Range].[Urdu].[All]" dimensionUniqueName="[Range]" displayFolder="" count="0" memberValueDatatype="20" unbalanced="0"/>
    <cacheHierarchy uniqueName="[Range].[Math]" caption="Math" attribute="1" defaultMemberUniqueName="[Range].[Math].[All]" allUniqueName="[Range].[Math].[All]" dimensionUniqueName="[Range]" displayFolder="" count="0" memberValueDatatype="20" unbalanced="0"/>
    <cacheHierarchy uniqueName="[Range].[Total]" caption="Total" attribute="1" defaultMemberUniqueName="[Range].[Total].[All]" allUniqueName="[Range].[Total].[All]" dimensionUniqueName="[Range]" displayFolder="" count="0" memberValueDatatype="20" unbalanced="0"/>
    <cacheHierarchy uniqueName="[Range].[Obtained]" caption="Obtained" attribute="1" defaultMemberUniqueName="[Range].[Obtained].[All]" allUniqueName="[Range].[Obtained].[All]" dimensionUniqueName="[Range]" displayFolder="" count="0" memberValueDatatype="20" unbalanced="0"/>
    <cacheHierarchy uniqueName="[Range].[Maximam]" caption="Maximam" attribute="1" defaultMemberUniqueName="[Range].[Maximam].[All]" allUniqueName="[Range].[Maximam].[All]" dimensionUniqueName="[Range]" displayFolder="" count="0" memberValueDatatype="20" unbalanced="0"/>
    <cacheHierarchy uniqueName="[Range].[Minimum]" caption="Minimum" attribute="1" defaultMemberUniqueName="[Range].[Minimum].[All]" allUniqueName="[Range].[Minimum].[All]" dimensionUniqueName="[Range]" displayFolder="" count="0" memberValueDatatype="20" unbalanced="0"/>
    <cacheHierarchy uniqueName="[Range].[Average]" caption="Average" attribute="1" defaultMemberUniqueName="[Range].[Average].[All]" allUniqueName="[Range].[Average].[All]" dimensionUniqueName="[Range]" displayFolder="" count="0" memberValueDatatype="5" unbalanced="0"/>
    <cacheHierarchy uniqueName="[Range].[Grades]" caption="Grades" attribute="1" defaultMemberUniqueName="[Range].[Grades].[All]" allUniqueName="[Range].[Grades].[All]" dimensionUniqueName="[Range]" displayFolder="" count="2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slamiyat]" caption="Sum of Islamiya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English]" caption="Sum of English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cience]" caption="Sum of Scienc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Urdu]" caption="Sum of Urdu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ath]" caption="Sum of Math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btained]" caption="Sum of Obtained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erage]" caption="Sum of Average" measure="1" displayFolder="" measureGroup="Range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B48ED-9440-4F4E-BAE9-1800BAA74E8E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34" firstHeaderRow="0" firstDataRow="1" firstDataCol="1"/>
  <pivotFields count="9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Islamiyat" fld="1" baseField="0" baseItem="0"/>
    <dataField name="Sum of English" fld="2" baseField="0" baseItem="0"/>
    <dataField name="Sum of Science" fld="3" baseField="0" baseItem="0"/>
    <dataField name="Sum of Urdu" fld="4" baseField="0" baseItem="0"/>
    <dataField name="Sum of Math" fld="5" baseField="0" baseItem="0"/>
    <dataField name="Sum of Total" fld="6" baseField="0" baseItem="0"/>
    <dataField name="Sum of Obtained" fld="7" baseField="0" baseItem="0"/>
    <dataField name="Sum of Average" fld="8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L$3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31A41-A99E-4873-99C2-8A7C659AFAC4}">
  <dimension ref="A3:I34"/>
  <sheetViews>
    <sheetView workbookViewId="0">
      <selection activeCell="A3" sqref="A3"/>
    </sheetView>
  </sheetViews>
  <sheetFormatPr defaultRowHeight="15" x14ac:dyDescent="0.25"/>
  <cols>
    <col min="1" max="1" width="14.42578125" bestFit="1" customWidth="1"/>
    <col min="2" max="2" width="15.7109375" bestFit="1" customWidth="1"/>
    <col min="3" max="3" width="14" bestFit="1" customWidth="1"/>
    <col min="4" max="4" width="14.42578125" bestFit="1" customWidth="1"/>
    <col min="5" max="5" width="12" bestFit="1" customWidth="1"/>
    <col min="6" max="6" width="12.28515625" bestFit="1" customWidth="1"/>
    <col min="7" max="7" width="12" bestFit="1" customWidth="1"/>
    <col min="8" max="8" width="16" bestFit="1" customWidth="1"/>
    <col min="9" max="9" width="15" bestFit="1" customWidth="1"/>
  </cols>
  <sheetData>
    <row r="3" spans="1:9" x14ac:dyDescent="0.25">
      <c r="A3" s="2" t="s">
        <v>41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</row>
    <row r="4" spans="1:9" x14ac:dyDescent="0.25">
      <c r="A4" s="1" t="s">
        <v>42</v>
      </c>
      <c r="B4" s="3">
        <v>54</v>
      </c>
      <c r="C4" s="3">
        <v>67</v>
      </c>
      <c r="D4" s="3">
        <v>47</v>
      </c>
      <c r="E4" s="3">
        <v>87</v>
      </c>
      <c r="F4" s="3">
        <v>67</v>
      </c>
      <c r="G4" s="3">
        <v>500</v>
      </c>
      <c r="H4" s="3">
        <v>322</v>
      </c>
      <c r="I4" s="3">
        <v>64.400000000000006</v>
      </c>
    </row>
    <row r="5" spans="1:9" x14ac:dyDescent="0.25">
      <c r="A5" s="1" t="s">
        <v>13</v>
      </c>
      <c r="B5" s="3">
        <v>76</v>
      </c>
      <c r="C5" s="3">
        <v>29</v>
      </c>
      <c r="D5" s="3">
        <v>28</v>
      </c>
      <c r="E5" s="3">
        <v>54</v>
      </c>
      <c r="F5" s="3">
        <v>83</v>
      </c>
      <c r="G5" s="3">
        <v>500</v>
      </c>
      <c r="H5" s="3">
        <v>270</v>
      </c>
      <c r="I5" s="3">
        <v>54</v>
      </c>
    </row>
    <row r="6" spans="1:9" x14ac:dyDescent="0.25">
      <c r="A6" s="1" t="s">
        <v>19</v>
      </c>
      <c r="B6" s="3">
        <v>96</v>
      </c>
      <c r="C6" s="3">
        <v>73</v>
      </c>
      <c r="D6" s="3">
        <v>59</v>
      </c>
      <c r="E6" s="3">
        <v>84</v>
      </c>
      <c r="F6" s="3">
        <v>93</v>
      </c>
      <c r="G6" s="3">
        <v>500</v>
      </c>
      <c r="H6" s="3">
        <v>405</v>
      </c>
      <c r="I6" s="3">
        <v>81</v>
      </c>
    </row>
    <row r="7" spans="1:9" x14ac:dyDescent="0.25">
      <c r="A7" s="1" t="s">
        <v>5</v>
      </c>
      <c r="B7" s="3">
        <v>56</v>
      </c>
      <c r="C7" s="3">
        <v>72</v>
      </c>
      <c r="D7" s="3">
        <v>67</v>
      </c>
      <c r="E7" s="3">
        <v>23</v>
      </c>
      <c r="F7" s="3">
        <v>45</v>
      </c>
      <c r="G7" s="3">
        <v>500</v>
      </c>
      <c r="H7" s="3">
        <v>263</v>
      </c>
      <c r="I7" s="3">
        <v>52.6</v>
      </c>
    </row>
    <row r="8" spans="1:9" x14ac:dyDescent="0.25">
      <c r="A8" s="1" t="s">
        <v>28</v>
      </c>
      <c r="B8" s="3">
        <v>69</v>
      </c>
      <c r="C8" s="3">
        <v>30</v>
      </c>
      <c r="D8" s="3">
        <v>69</v>
      </c>
      <c r="E8" s="3">
        <v>56</v>
      </c>
      <c r="F8" s="3">
        <v>96</v>
      </c>
      <c r="G8" s="3">
        <v>500</v>
      </c>
      <c r="H8" s="3">
        <v>320</v>
      </c>
      <c r="I8" s="3">
        <v>64</v>
      </c>
    </row>
    <row r="9" spans="1:9" x14ac:dyDescent="0.25">
      <c r="A9" s="1" t="s">
        <v>4</v>
      </c>
      <c r="B9" s="3">
        <v>27</v>
      </c>
      <c r="C9" s="3">
        <v>70</v>
      </c>
      <c r="D9" s="3">
        <v>53</v>
      </c>
      <c r="E9" s="3">
        <v>34</v>
      </c>
      <c r="F9" s="3">
        <v>76</v>
      </c>
      <c r="G9" s="3">
        <v>500</v>
      </c>
      <c r="H9" s="3">
        <v>260</v>
      </c>
      <c r="I9" s="3">
        <v>52</v>
      </c>
    </row>
    <row r="10" spans="1:9" x14ac:dyDescent="0.25">
      <c r="A10" s="1" t="s">
        <v>11</v>
      </c>
      <c r="B10" s="3">
        <v>25</v>
      </c>
      <c r="C10" s="3">
        <v>29</v>
      </c>
      <c r="D10" s="3">
        <v>73</v>
      </c>
      <c r="E10" s="3">
        <v>67</v>
      </c>
      <c r="F10" s="3">
        <v>48</v>
      </c>
      <c r="G10" s="3">
        <v>500</v>
      </c>
      <c r="H10" s="3">
        <v>242</v>
      </c>
      <c r="I10" s="3">
        <v>48.4</v>
      </c>
    </row>
    <row r="11" spans="1:9" x14ac:dyDescent="0.25">
      <c r="A11" s="1" t="s">
        <v>6</v>
      </c>
      <c r="B11" s="3">
        <v>43</v>
      </c>
      <c r="C11" s="3">
        <v>38</v>
      </c>
      <c r="D11" s="3">
        <v>48</v>
      </c>
      <c r="E11" s="3">
        <v>19</v>
      </c>
      <c r="F11" s="3">
        <v>56</v>
      </c>
      <c r="G11" s="3">
        <v>500</v>
      </c>
      <c r="H11" s="3">
        <v>204</v>
      </c>
      <c r="I11" s="3">
        <v>40.799999999999997</v>
      </c>
    </row>
    <row r="12" spans="1:9" x14ac:dyDescent="0.25">
      <c r="A12" s="1" t="s">
        <v>16</v>
      </c>
      <c r="B12" s="3">
        <v>31</v>
      </c>
      <c r="C12" s="3">
        <v>92</v>
      </c>
      <c r="D12" s="3">
        <v>73</v>
      </c>
      <c r="E12" s="3">
        <v>67</v>
      </c>
      <c r="F12" s="3">
        <v>79</v>
      </c>
      <c r="G12" s="3">
        <v>500</v>
      </c>
      <c r="H12" s="3">
        <v>342</v>
      </c>
      <c r="I12" s="3">
        <v>68.400000000000006</v>
      </c>
    </row>
    <row r="13" spans="1:9" x14ac:dyDescent="0.25">
      <c r="A13" s="1" t="s">
        <v>25</v>
      </c>
      <c r="B13" s="3">
        <v>86</v>
      </c>
      <c r="C13" s="3">
        <v>64</v>
      </c>
      <c r="D13" s="3">
        <v>46</v>
      </c>
      <c r="E13" s="3">
        <v>87</v>
      </c>
      <c r="F13" s="3">
        <v>68</v>
      </c>
      <c r="G13" s="3">
        <v>500</v>
      </c>
      <c r="H13" s="3">
        <v>351</v>
      </c>
      <c r="I13" s="3">
        <v>70.2</v>
      </c>
    </row>
    <row r="14" spans="1:9" x14ac:dyDescent="0.25">
      <c r="A14" s="1" t="s">
        <v>23</v>
      </c>
      <c r="B14" s="3">
        <v>24</v>
      </c>
      <c r="C14" s="3">
        <v>68</v>
      </c>
      <c r="D14" s="3">
        <v>84</v>
      </c>
      <c r="E14" s="3">
        <v>54</v>
      </c>
      <c r="F14" s="3">
        <v>29</v>
      </c>
      <c r="G14" s="3">
        <v>500</v>
      </c>
      <c r="H14" s="3">
        <v>259</v>
      </c>
      <c r="I14" s="3">
        <v>51.8</v>
      </c>
    </row>
    <row r="15" spans="1:9" x14ac:dyDescent="0.25">
      <c r="A15" s="1" t="s">
        <v>22</v>
      </c>
      <c r="B15" s="3">
        <v>79</v>
      </c>
      <c r="C15" s="3">
        <v>85</v>
      </c>
      <c r="D15" s="3">
        <v>86</v>
      </c>
      <c r="E15" s="3">
        <v>76</v>
      </c>
      <c r="F15" s="3">
        <v>83</v>
      </c>
      <c r="G15" s="3">
        <v>500</v>
      </c>
      <c r="H15" s="3">
        <v>409</v>
      </c>
      <c r="I15" s="3">
        <v>81.8</v>
      </c>
    </row>
    <row r="16" spans="1:9" x14ac:dyDescent="0.25">
      <c r="A16" s="1" t="s">
        <v>29</v>
      </c>
      <c r="B16" s="3">
        <v>19</v>
      </c>
      <c r="C16" s="3">
        <v>56</v>
      </c>
      <c r="D16" s="3">
        <v>90</v>
      </c>
      <c r="E16" s="3">
        <v>87</v>
      </c>
      <c r="F16" s="3">
        <v>69</v>
      </c>
      <c r="G16" s="3">
        <v>500</v>
      </c>
      <c r="H16" s="3">
        <v>321</v>
      </c>
      <c r="I16" s="3">
        <v>64.2</v>
      </c>
    </row>
    <row r="17" spans="1:9" x14ac:dyDescent="0.25">
      <c r="A17" s="1" t="s">
        <v>27</v>
      </c>
      <c r="B17" s="3">
        <v>74</v>
      </c>
      <c r="C17" s="3">
        <v>29</v>
      </c>
      <c r="D17" s="3">
        <v>45</v>
      </c>
      <c r="E17" s="3">
        <v>24</v>
      </c>
      <c r="F17" s="3">
        <v>98</v>
      </c>
      <c r="G17" s="3">
        <v>500</v>
      </c>
      <c r="H17" s="3">
        <v>270</v>
      </c>
      <c r="I17" s="3">
        <v>54</v>
      </c>
    </row>
    <row r="18" spans="1:9" x14ac:dyDescent="0.25">
      <c r="A18" s="1" t="s">
        <v>8</v>
      </c>
      <c r="B18" s="3">
        <v>87</v>
      </c>
      <c r="C18" s="3">
        <v>43</v>
      </c>
      <c r="D18" s="3">
        <v>69</v>
      </c>
      <c r="E18" s="3">
        <v>65</v>
      </c>
      <c r="F18" s="3">
        <v>25</v>
      </c>
      <c r="G18" s="3">
        <v>500</v>
      </c>
      <c r="H18" s="3">
        <v>289</v>
      </c>
      <c r="I18" s="3">
        <v>57.8</v>
      </c>
    </row>
    <row r="19" spans="1:9" x14ac:dyDescent="0.25">
      <c r="A19" s="1" t="s">
        <v>12</v>
      </c>
      <c r="B19" s="3">
        <v>28</v>
      </c>
      <c r="C19" s="3">
        <v>52</v>
      </c>
      <c r="D19" s="3">
        <v>58</v>
      </c>
      <c r="E19" s="3">
        <v>86</v>
      </c>
      <c r="F19" s="3">
        <v>26</v>
      </c>
      <c r="G19" s="3">
        <v>500</v>
      </c>
      <c r="H19" s="3">
        <v>250</v>
      </c>
      <c r="I19" s="3">
        <v>50</v>
      </c>
    </row>
    <row r="20" spans="1:9" x14ac:dyDescent="0.25">
      <c r="A20" s="1" t="s">
        <v>10</v>
      </c>
      <c r="B20" s="3">
        <v>34</v>
      </c>
      <c r="C20" s="3">
        <v>73</v>
      </c>
      <c r="D20" s="3">
        <v>56</v>
      </c>
      <c r="E20" s="3">
        <v>53</v>
      </c>
      <c r="F20" s="3">
        <v>69</v>
      </c>
      <c r="G20" s="3">
        <v>500</v>
      </c>
      <c r="H20" s="3">
        <v>285</v>
      </c>
      <c r="I20" s="3">
        <v>57</v>
      </c>
    </row>
    <row r="21" spans="1:9" x14ac:dyDescent="0.25">
      <c r="A21" s="1" t="s">
        <v>18</v>
      </c>
      <c r="B21" s="3">
        <v>13</v>
      </c>
      <c r="C21" s="3">
        <v>72</v>
      </c>
      <c r="D21" s="3">
        <v>38</v>
      </c>
      <c r="E21" s="3">
        <v>69</v>
      </c>
      <c r="F21" s="3">
        <v>58</v>
      </c>
      <c r="G21" s="3">
        <v>500</v>
      </c>
      <c r="H21" s="3">
        <v>250</v>
      </c>
      <c r="I21" s="3">
        <v>50</v>
      </c>
    </row>
    <row r="22" spans="1:9" x14ac:dyDescent="0.25">
      <c r="A22" s="1" t="s">
        <v>9</v>
      </c>
      <c r="B22" s="3">
        <v>65</v>
      </c>
      <c r="C22" s="3">
        <v>73</v>
      </c>
      <c r="D22" s="3">
        <v>68</v>
      </c>
      <c r="E22" s="3">
        <v>74</v>
      </c>
      <c r="F22" s="3">
        <v>87</v>
      </c>
      <c r="G22" s="3">
        <v>500</v>
      </c>
      <c r="H22" s="3">
        <v>367</v>
      </c>
      <c r="I22" s="3">
        <v>73.400000000000006</v>
      </c>
    </row>
    <row r="23" spans="1:9" x14ac:dyDescent="0.25">
      <c r="A23" s="1" t="s">
        <v>20</v>
      </c>
      <c r="B23" s="3">
        <v>75</v>
      </c>
      <c r="C23" s="3">
        <v>74</v>
      </c>
      <c r="D23" s="3">
        <v>52</v>
      </c>
      <c r="E23" s="3">
        <v>52</v>
      </c>
      <c r="F23" s="3">
        <v>18</v>
      </c>
      <c r="G23" s="3">
        <v>500</v>
      </c>
      <c r="H23" s="3">
        <v>271</v>
      </c>
      <c r="I23" s="3">
        <v>54.2</v>
      </c>
    </row>
    <row r="24" spans="1:9" x14ac:dyDescent="0.25">
      <c r="A24" s="1" t="s">
        <v>26</v>
      </c>
      <c r="B24" s="3">
        <v>26</v>
      </c>
      <c r="C24" s="3">
        <v>82</v>
      </c>
      <c r="D24" s="3">
        <v>76</v>
      </c>
      <c r="E24" s="3">
        <v>91</v>
      </c>
      <c r="F24" s="3">
        <v>84</v>
      </c>
      <c r="G24" s="3">
        <v>500</v>
      </c>
      <c r="H24" s="3">
        <v>359</v>
      </c>
      <c r="I24" s="3">
        <v>71.8</v>
      </c>
    </row>
    <row r="25" spans="1:9" x14ac:dyDescent="0.25">
      <c r="A25" s="1" t="s">
        <v>21</v>
      </c>
      <c r="B25" s="3">
        <v>86</v>
      </c>
      <c r="C25" s="3">
        <v>95</v>
      </c>
      <c r="D25" s="3">
        <v>47</v>
      </c>
      <c r="E25" s="3">
        <v>38</v>
      </c>
      <c r="F25" s="3">
        <v>29</v>
      </c>
      <c r="G25" s="3">
        <v>500</v>
      </c>
      <c r="H25" s="3">
        <v>295</v>
      </c>
      <c r="I25" s="3">
        <v>59</v>
      </c>
    </row>
    <row r="26" spans="1:9" x14ac:dyDescent="0.25">
      <c r="A26" s="1" t="s">
        <v>2</v>
      </c>
      <c r="B26" s="3">
        <v>56</v>
      </c>
      <c r="C26" s="3">
        <v>39</v>
      </c>
      <c r="D26" s="3">
        <v>47</v>
      </c>
      <c r="E26" s="3">
        <v>56</v>
      </c>
      <c r="F26" s="3">
        <v>34</v>
      </c>
      <c r="G26" s="3">
        <v>500</v>
      </c>
      <c r="H26" s="3">
        <v>232</v>
      </c>
      <c r="I26" s="3">
        <v>46.4</v>
      </c>
    </row>
    <row r="27" spans="1:9" x14ac:dyDescent="0.25">
      <c r="A27" s="1" t="s">
        <v>24</v>
      </c>
      <c r="B27" s="3">
        <v>57</v>
      </c>
      <c r="C27" s="3">
        <v>63</v>
      </c>
      <c r="D27" s="3">
        <v>92</v>
      </c>
      <c r="E27" s="3">
        <v>78</v>
      </c>
      <c r="F27" s="3">
        <v>76</v>
      </c>
      <c r="G27" s="3">
        <v>500</v>
      </c>
      <c r="H27" s="3">
        <v>366</v>
      </c>
      <c r="I27" s="3">
        <v>73.2</v>
      </c>
    </row>
    <row r="28" spans="1:9" x14ac:dyDescent="0.25">
      <c r="A28" s="1" t="s">
        <v>14</v>
      </c>
      <c r="B28" s="3">
        <v>59</v>
      </c>
      <c r="C28" s="3">
        <v>48</v>
      </c>
      <c r="D28" s="3">
        <v>74</v>
      </c>
      <c r="E28" s="3">
        <v>23</v>
      </c>
      <c r="F28" s="3">
        <v>79</v>
      </c>
      <c r="G28" s="3">
        <v>500</v>
      </c>
      <c r="H28" s="3">
        <v>283</v>
      </c>
      <c r="I28" s="3">
        <v>56.6</v>
      </c>
    </row>
    <row r="29" spans="1:9" x14ac:dyDescent="0.25">
      <c r="A29" s="1" t="s">
        <v>1</v>
      </c>
      <c r="B29" s="3">
        <v>76</v>
      </c>
      <c r="C29" s="3">
        <v>62</v>
      </c>
      <c r="D29" s="3">
        <v>38</v>
      </c>
      <c r="E29" s="3">
        <v>67</v>
      </c>
      <c r="F29" s="3">
        <v>56</v>
      </c>
      <c r="G29" s="3">
        <v>500</v>
      </c>
      <c r="H29" s="3">
        <v>299</v>
      </c>
      <c r="I29" s="3">
        <v>59.8</v>
      </c>
    </row>
    <row r="30" spans="1:9" x14ac:dyDescent="0.25">
      <c r="A30" s="1" t="s">
        <v>3</v>
      </c>
      <c r="B30" s="3">
        <v>63</v>
      </c>
      <c r="C30" s="3">
        <v>74</v>
      </c>
      <c r="D30" s="3">
        <v>57</v>
      </c>
      <c r="E30" s="3">
        <v>45</v>
      </c>
      <c r="F30" s="3">
        <v>98</v>
      </c>
      <c r="G30" s="3">
        <v>500</v>
      </c>
      <c r="H30" s="3">
        <v>337</v>
      </c>
      <c r="I30" s="3">
        <v>67.400000000000006</v>
      </c>
    </row>
    <row r="31" spans="1:9" x14ac:dyDescent="0.25">
      <c r="A31" s="1" t="s">
        <v>7</v>
      </c>
      <c r="B31" s="3">
        <v>56</v>
      </c>
      <c r="C31" s="3">
        <v>83</v>
      </c>
      <c r="D31" s="3">
        <v>63</v>
      </c>
      <c r="E31" s="3">
        <v>87</v>
      </c>
      <c r="F31" s="3">
        <v>76</v>
      </c>
      <c r="G31" s="3">
        <v>500</v>
      </c>
      <c r="H31" s="3">
        <v>365</v>
      </c>
      <c r="I31" s="3">
        <v>73</v>
      </c>
    </row>
    <row r="32" spans="1:9" x14ac:dyDescent="0.25">
      <c r="A32" s="1" t="s">
        <v>15</v>
      </c>
      <c r="B32" s="3">
        <v>45</v>
      </c>
      <c r="C32" s="3">
        <v>28</v>
      </c>
      <c r="D32" s="3">
        <v>79</v>
      </c>
      <c r="E32" s="3">
        <v>58</v>
      </c>
      <c r="F32" s="3">
        <v>26</v>
      </c>
      <c r="G32" s="3">
        <v>500</v>
      </c>
      <c r="H32" s="3">
        <v>236</v>
      </c>
      <c r="I32" s="3">
        <v>47.2</v>
      </c>
    </row>
    <row r="33" spans="1:9" x14ac:dyDescent="0.25">
      <c r="A33" s="1" t="s">
        <v>17</v>
      </c>
      <c r="B33" s="3">
        <v>56</v>
      </c>
      <c r="C33" s="3">
        <v>83</v>
      </c>
      <c r="D33" s="3">
        <v>47</v>
      </c>
      <c r="E33" s="3">
        <v>43</v>
      </c>
      <c r="F33" s="3">
        <v>34</v>
      </c>
      <c r="G33" s="3">
        <v>500</v>
      </c>
      <c r="H33" s="3">
        <v>263</v>
      </c>
      <c r="I33" s="3">
        <v>52.6</v>
      </c>
    </row>
    <row r="34" spans="1:9" x14ac:dyDescent="0.25">
      <c r="A34" s="1" t="s">
        <v>43</v>
      </c>
      <c r="B34" s="3">
        <v>1641</v>
      </c>
      <c r="C34" s="3">
        <v>1846</v>
      </c>
      <c r="D34" s="3">
        <v>1829</v>
      </c>
      <c r="E34" s="3">
        <v>1804</v>
      </c>
      <c r="F34" s="3">
        <v>1865</v>
      </c>
      <c r="G34" s="3">
        <v>15000</v>
      </c>
      <c r="H34" s="3">
        <v>8985</v>
      </c>
      <c r="I34" s="3">
        <v>1797.0000000000002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EFAC-71CD-496D-BB09-E79B1A911FB1}">
  <dimension ref="A1:L32"/>
  <sheetViews>
    <sheetView tabSelected="1" zoomScale="78" zoomScaleNormal="78" workbookViewId="0">
      <selection activeCell="N12" sqref="N12"/>
    </sheetView>
  </sheetViews>
  <sheetFormatPr defaultRowHeight="15" x14ac:dyDescent="0.25"/>
  <cols>
    <col min="1" max="1" width="18.42578125" customWidth="1"/>
    <col min="2" max="2" width="10.85546875" customWidth="1"/>
    <col min="8" max="8" width="10.28515625" customWidth="1"/>
    <col min="9" max="9" width="12.140625" customWidth="1"/>
    <col min="10" max="10" width="12.5703125" customWidth="1"/>
    <col min="11" max="11" width="13.5703125" customWidth="1"/>
  </cols>
  <sheetData>
    <row r="1" spans="1:12" ht="15.75" x14ac:dyDescent="0.25">
      <c r="A1" s="4" t="s">
        <v>0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</row>
    <row r="2" spans="1:12" ht="15.75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.75" x14ac:dyDescent="0.25">
      <c r="A3" s="5" t="s">
        <v>52</v>
      </c>
      <c r="B3" s="6">
        <v>54</v>
      </c>
      <c r="C3" s="6">
        <v>67</v>
      </c>
      <c r="D3" s="6">
        <v>47</v>
      </c>
      <c r="E3" s="6">
        <v>87</v>
      </c>
      <c r="F3" s="6">
        <v>67</v>
      </c>
      <c r="G3" s="6">
        <v>500</v>
      </c>
      <c r="H3" s="6">
        <f>SUM(B3:F3)</f>
        <v>322</v>
      </c>
      <c r="I3" s="6">
        <f>MAX(B3:F3)</f>
        <v>87</v>
      </c>
      <c r="J3" s="6">
        <f>MIN(B3:F3)</f>
        <v>47</v>
      </c>
      <c r="K3" s="6">
        <f>AVERAGE(B3:F3)</f>
        <v>64.400000000000006</v>
      </c>
      <c r="L3" s="6" t="str">
        <f>IF(H3&gt;250,"PASS","FAIL")</f>
        <v>PASS</v>
      </c>
    </row>
    <row r="4" spans="1:12" ht="15.75" x14ac:dyDescent="0.25">
      <c r="A4" s="5" t="s">
        <v>1</v>
      </c>
      <c r="B4" s="6">
        <v>76</v>
      </c>
      <c r="C4" s="6">
        <v>62</v>
      </c>
      <c r="D4" s="6">
        <v>38</v>
      </c>
      <c r="E4" s="6">
        <v>67</v>
      </c>
      <c r="F4" s="6">
        <v>56</v>
      </c>
      <c r="G4" s="6">
        <v>500</v>
      </c>
      <c r="H4" s="6">
        <f t="shared" ref="H4:H32" si="0">SUM(B4:F4)</f>
        <v>299</v>
      </c>
      <c r="I4" s="6">
        <f t="shared" ref="I4:I32" si="1">MAX(B4:F4)</f>
        <v>76</v>
      </c>
      <c r="J4" s="6">
        <f t="shared" ref="J4:J32" si="2">MIN(B4:F4)</f>
        <v>38</v>
      </c>
      <c r="K4" s="6">
        <f t="shared" ref="K4:K32" si="3">AVERAGE(B4:F4)</f>
        <v>59.8</v>
      </c>
      <c r="L4" s="6" t="str">
        <f t="shared" ref="L4:L32" si="4">IF(H4&gt;250,"PASS","FAIL")</f>
        <v>PASS</v>
      </c>
    </row>
    <row r="5" spans="1:12" ht="15.75" x14ac:dyDescent="0.25">
      <c r="A5" s="5" t="s">
        <v>2</v>
      </c>
      <c r="B5" s="6">
        <v>56</v>
      </c>
      <c r="C5" s="6">
        <v>39</v>
      </c>
      <c r="D5" s="6">
        <v>47</v>
      </c>
      <c r="E5" s="6">
        <v>56</v>
      </c>
      <c r="F5" s="6">
        <v>34</v>
      </c>
      <c r="G5" s="6">
        <v>500</v>
      </c>
      <c r="H5" s="6">
        <f t="shared" si="0"/>
        <v>232</v>
      </c>
      <c r="I5" s="6">
        <f t="shared" si="1"/>
        <v>56</v>
      </c>
      <c r="J5" s="6">
        <f t="shared" si="2"/>
        <v>34</v>
      </c>
      <c r="K5" s="6">
        <f t="shared" si="3"/>
        <v>46.4</v>
      </c>
      <c r="L5" s="6" t="str">
        <f t="shared" si="4"/>
        <v>FAIL</v>
      </c>
    </row>
    <row r="6" spans="1:12" ht="15.75" x14ac:dyDescent="0.25">
      <c r="A6" s="5" t="s">
        <v>3</v>
      </c>
      <c r="B6" s="6">
        <v>63</v>
      </c>
      <c r="C6" s="6">
        <v>74</v>
      </c>
      <c r="D6" s="6">
        <v>57</v>
      </c>
      <c r="E6" s="6">
        <v>45</v>
      </c>
      <c r="F6" s="6">
        <v>98</v>
      </c>
      <c r="G6" s="6">
        <v>500</v>
      </c>
      <c r="H6" s="6">
        <f t="shared" si="0"/>
        <v>337</v>
      </c>
      <c r="I6" s="6">
        <f t="shared" si="1"/>
        <v>98</v>
      </c>
      <c r="J6" s="6">
        <f t="shared" si="2"/>
        <v>45</v>
      </c>
      <c r="K6" s="6">
        <f t="shared" si="3"/>
        <v>67.400000000000006</v>
      </c>
      <c r="L6" s="6" t="str">
        <f t="shared" si="4"/>
        <v>PASS</v>
      </c>
    </row>
    <row r="7" spans="1:12" ht="15.75" x14ac:dyDescent="0.25">
      <c r="A7" s="5" t="s">
        <v>4</v>
      </c>
      <c r="B7" s="6">
        <v>27</v>
      </c>
      <c r="C7" s="6">
        <v>70</v>
      </c>
      <c r="D7" s="6">
        <v>53</v>
      </c>
      <c r="E7" s="6">
        <v>34</v>
      </c>
      <c r="F7" s="6">
        <v>76</v>
      </c>
      <c r="G7" s="6">
        <v>500</v>
      </c>
      <c r="H7" s="6">
        <f t="shared" si="0"/>
        <v>260</v>
      </c>
      <c r="I7" s="6">
        <f t="shared" si="1"/>
        <v>76</v>
      </c>
      <c r="J7" s="6">
        <f t="shared" si="2"/>
        <v>27</v>
      </c>
      <c r="K7" s="6">
        <f t="shared" si="3"/>
        <v>52</v>
      </c>
      <c r="L7" s="6" t="str">
        <f t="shared" si="4"/>
        <v>PASS</v>
      </c>
    </row>
    <row r="8" spans="1:12" ht="15.75" x14ac:dyDescent="0.25">
      <c r="A8" s="5" t="s">
        <v>5</v>
      </c>
      <c r="B8" s="6">
        <v>56</v>
      </c>
      <c r="C8" s="6">
        <v>72</v>
      </c>
      <c r="D8" s="6">
        <v>67</v>
      </c>
      <c r="E8" s="6">
        <v>23</v>
      </c>
      <c r="F8" s="6">
        <v>45</v>
      </c>
      <c r="G8" s="6">
        <v>500</v>
      </c>
      <c r="H8" s="6">
        <f t="shared" si="0"/>
        <v>263</v>
      </c>
      <c r="I8" s="6">
        <f t="shared" si="1"/>
        <v>72</v>
      </c>
      <c r="J8" s="6">
        <f t="shared" si="2"/>
        <v>23</v>
      </c>
      <c r="K8" s="6">
        <f t="shared" si="3"/>
        <v>52.6</v>
      </c>
      <c r="L8" s="6" t="str">
        <f t="shared" si="4"/>
        <v>PASS</v>
      </c>
    </row>
    <row r="9" spans="1:12" ht="15.75" x14ac:dyDescent="0.25">
      <c r="A9" s="5" t="s">
        <v>6</v>
      </c>
      <c r="B9" s="6">
        <v>43</v>
      </c>
      <c r="C9" s="6">
        <v>38</v>
      </c>
      <c r="D9" s="6">
        <v>48</v>
      </c>
      <c r="E9" s="6">
        <v>19</v>
      </c>
      <c r="F9" s="6">
        <v>56</v>
      </c>
      <c r="G9" s="6">
        <v>500</v>
      </c>
      <c r="H9" s="6">
        <f t="shared" si="0"/>
        <v>204</v>
      </c>
      <c r="I9" s="6">
        <f t="shared" si="1"/>
        <v>56</v>
      </c>
      <c r="J9" s="6">
        <f t="shared" si="2"/>
        <v>19</v>
      </c>
      <c r="K9" s="6">
        <f t="shared" si="3"/>
        <v>40.799999999999997</v>
      </c>
      <c r="L9" s="6" t="str">
        <f t="shared" si="4"/>
        <v>FAIL</v>
      </c>
    </row>
    <row r="10" spans="1:12" ht="15.75" x14ac:dyDescent="0.25">
      <c r="A10" s="5" t="s">
        <v>7</v>
      </c>
      <c r="B10" s="6">
        <v>56</v>
      </c>
      <c r="C10" s="6">
        <v>83</v>
      </c>
      <c r="D10" s="6">
        <v>63</v>
      </c>
      <c r="E10" s="6">
        <v>87</v>
      </c>
      <c r="F10" s="6">
        <v>76</v>
      </c>
      <c r="G10" s="6">
        <v>500</v>
      </c>
      <c r="H10" s="6">
        <f t="shared" si="0"/>
        <v>365</v>
      </c>
      <c r="I10" s="6">
        <f t="shared" si="1"/>
        <v>87</v>
      </c>
      <c r="J10" s="6">
        <f t="shared" si="2"/>
        <v>56</v>
      </c>
      <c r="K10" s="6">
        <f t="shared" si="3"/>
        <v>73</v>
      </c>
      <c r="L10" s="6" t="str">
        <f t="shared" si="4"/>
        <v>PASS</v>
      </c>
    </row>
    <row r="11" spans="1:12" ht="15.75" x14ac:dyDescent="0.25">
      <c r="A11" s="5" t="s">
        <v>8</v>
      </c>
      <c r="B11" s="6">
        <v>87</v>
      </c>
      <c r="C11" s="6">
        <v>43</v>
      </c>
      <c r="D11" s="6">
        <v>69</v>
      </c>
      <c r="E11" s="6">
        <v>65</v>
      </c>
      <c r="F11" s="6">
        <v>25</v>
      </c>
      <c r="G11" s="6">
        <v>500</v>
      </c>
      <c r="H11" s="6">
        <f t="shared" si="0"/>
        <v>289</v>
      </c>
      <c r="I11" s="6">
        <f t="shared" si="1"/>
        <v>87</v>
      </c>
      <c r="J11" s="6">
        <f t="shared" si="2"/>
        <v>25</v>
      </c>
      <c r="K11" s="6">
        <f t="shared" si="3"/>
        <v>57.8</v>
      </c>
      <c r="L11" s="6" t="str">
        <f t="shared" si="4"/>
        <v>PASS</v>
      </c>
    </row>
    <row r="12" spans="1:12" ht="15.75" x14ac:dyDescent="0.25">
      <c r="A12" s="5" t="s">
        <v>9</v>
      </c>
      <c r="B12" s="6">
        <v>65</v>
      </c>
      <c r="C12" s="6">
        <v>73</v>
      </c>
      <c r="D12" s="6">
        <v>68</v>
      </c>
      <c r="E12" s="6">
        <v>74</v>
      </c>
      <c r="F12" s="6">
        <v>87</v>
      </c>
      <c r="G12" s="6">
        <v>500</v>
      </c>
      <c r="H12" s="6">
        <f t="shared" si="0"/>
        <v>367</v>
      </c>
      <c r="I12" s="6">
        <f t="shared" si="1"/>
        <v>87</v>
      </c>
      <c r="J12" s="6">
        <f t="shared" si="2"/>
        <v>65</v>
      </c>
      <c r="K12" s="6">
        <f t="shared" si="3"/>
        <v>73.400000000000006</v>
      </c>
      <c r="L12" s="6" t="str">
        <f t="shared" si="4"/>
        <v>PASS</v>
      </c>
    </row>
    <row r="13" spans="1:12" ht="15.75" x14ac:dyDescent="0.25">
      <c r="A13" s="5" t="s">
        <v>10</v>
      </c>
      <c r="B13" s="6">
        <v>34</v>
      </c>
      <c r="C13" s="6">
        <v>73</v>
      </c>
      <c r="D13" s="6">
        <v>56</v>
      </c>
      <c r="E13" s="6">
        <v>53</v>
      </c>
      <c r="F13" s="6">
        <v>69</v>
      </c>
      <c r="G13" s="6">
        <v>500</v>
      </c>
      <c r="H13" s="6">
        <f t="shared" si="0"/>
        <v>285</v>
      </c>
      <c r="I13" s="6">
        <f t="shared" si="1"/>
        <v>73</v>
      </c>
      <c r="J13" s="6">
        <f t="shared" si="2"/>
        <v>34</v>
      </c>
      <c r="K13" s="6">
        <f t="shared" si="3"/>
        <v>57</v>
      </c>
      <c r="L13" s="6" t="str">
        <f t="shared" si="4"/>
        <v>PASS</v>
      </c>
    </row>
    <row r="14" spans="1:12" ht="15.75" x14ac:dyDescent="0.25">
      <c r="A14" s="5" t="s">
        <v>11</v>
      </c>
      <c r="B14" s="6">
        <v>25</v>
      </c>
      <c r="C14" s="6">
        <v>29</v>
      </c>
      <c r="D14" s="6">
        <v>73</v>
      </c>
      <c r="E14" s="6">
        <v>67</v>
      </c>
      <c r="F14" s="6">
        <v>48</v>
      </c>
      <c r="G14" s="6">
        <v>500</v>
      </c>
      <c r="H14" s="6">
        <f t="shared" si="0"/>
        <v>242</v>
      </c>
      <c r="I14" s="6">
        <f t="shared" si="1"/>
        <v>73</v>
      </c>
      <c r="J14" s="6">
        <f t="shared" si="2"/>
        <v>25</v>
      </c>
      <c r="K14" s="6">
        <f t="shared" si="3"/>
        <v>48.4</v>
      </c>
      <c r="L14" s="6" t="str">
        <f t="shared" si="4"/>
        <v>FAIL</v>
      </c>
    </row>
    <row r="15" spans="1:12" ht="15.75" x14ac:dyDescent="0.25">
      <c r="A15" s="5" t="s">
        <v>12</v>
      </c>
      <c r="B15" s="6">
        <v>28</v>
      </c>
      <c r="C15" s="6">
        <v>52</v>
      </c>
      <c r="D15" s="6">
        <v>58</v>
      </c>
      <c r="E15" s="6">
        <v>86</v>
      </c>
      <c r="F15" s="6">
        <v>26</v>
      </c>
      <c r="G15" s="6">
        <v>500</v>
      </c>
      <c r="H15" s="6">
        <f t="shared" si="0"/>
        <v>250</v>
      </c>
      <c r="I15" s="6">
        <f t="shared" si="1"/>
        <v>86</v>
      </c>
      <c r="J15" s="6">
        <f t="shared" si="2"/>
        <v>26</v>
      </c>
      <c r="K15" s="6">
        <f t="shared" si="3"/>
        <v>50</v>
      </c>
      <c r="L15" s="6" t="str">
        <f t="shared" si="4"/>
        <v>FAIL</v>
      </c>
    </row>
    <row r="16" spans="1:12" ht="15.75" x14ac:dyDescent="0.25">
      <c r="A16" s="5" t="s">
        <v>13</v>
      </c>
      <c r="B16" s="6">
        <v>76</v>
      </c>
      <c r="C16" s="6">
        <v>29</v>
      </c>
      <c r="D16" s="6">
        <v>28</v>
      </c>
      <c r="E16" s="6">
        <v>54</v>
      </c>
      <c r="F16" s="6">
        <v>83</v>
      </c>
      <c r="G16" s="6">
        <v>500</v>
      </c>
      <c r="H16" s="6">
        <f t="shared" si="0"/>
        <v>270</v>
      </c>
      <c r="I16" s="6">
        <f t="shared" si="1"/>
        <v>83</v>
      </c>
      <c r="J16" s="6">
        <f t="shared" si="2"/>
        <v>28</v>
      </c>
      <c r="K16" s="6">
        <f t="shared" si="3"/>
        <v>54</v>
      </c>
      <c r="L16" s="6" t="str">
        <f t="shared" si="4"/>
        <v>PASS</v>
      </c>
    </row>
    <row r="17" spans="1:12" ht="15.75" x14ac:dyDescent="0.25">
      <c r="A17" s="5" t="s">
        <v>14</v>
      </c>
      <c r="B17" s="6">
        <v>59</v>
      </c>
      <c r="C17" s="6">
        <v>48</v>
      </c>
      <c r="D17" s="6">
        <v>74</v>
      </c>
      <c r="E17" s="6">
        <v>23</v>
      </c>
      <c r="F17" s="6">
        <v>79</v>
      </c>
      <c r="G17" s="6">
        <v>500</v>
      </c>
      <c r="H17" s="6">
        <f t="shared" si="0"/>
        <v>283</v>
      </c>
      <c r="I17" s="6">
        <f t="shared" si="1"/>
        <v>79</v>
      </c>
      <c r="J17" s="6">
        <f t="shared" si="2"/>
        <v>23</v>
      </c>
      <c r="K17" s="6">
        <f t="shared" si="3"/>
        <v>56.6</v>
      </c>
      <c r="L17" s="6" t="str">
        <f t="shared" si="4"/>
        <v>PASS</v>
      </c>
    </row>
    <row r="18" spans="1:12" ht="15.75" x14ac:dyDescent="0.25">
      <c r="A18" s="5" t="s">
        <v>15</v>
      </c>
      <c r="B18" s="6">
        <v>45</v>
      </c>
      <c r="C18" s="6">
        <v>28</v>
      </c>
      <c r="D18" s="6">
        <v>79</v>
      </c>
      <c r="E18" s="6">
        <v>58</v>
      </c>
      <c r="F18" s="6">
        <v>26</v>
      </c>
      <c r="G18" s="6">
        <v>500</v>
      </c>
      <c r="H18" s="6">
        <f t="shared" si="0"/>
        <v>236</v>
      </c>
      <c r="I18" s="6">
        <f t="shared" si="1"/>
        <v>79</v>
      </c>
      <c r="J18" s="6">
        <f t="shared" si="2"/>
        <v>26</v>
      </c>
      <c r="K18" s="6">
        <f t="shared" si="3"/>
        <v>47.2</v>
      </c>
      <c r="L18" s="6" t="str">
        <f t="shared" si="4"/>
        <v>FAIL</v>
      </c>
    </row>
    <row r="19" spans="1:12" ht="15.75" x14ac:dyDescent="0.25">
      <c r="A19" s="5" t="s">
        <v>16</v>
      </c>
      <c r="B19" s="6">
        <v>31</v>
      </c>
      <c r="C19" s="6">
        <v>92</v>
      </c>
      <c r="D19" s="6">
        <v>73</v>
      </c>
      <c r="E19" s="6">
        <v>67</v>
      </c>
      <c r="F19" s="6">
        <v>79</v>
      </c>
      <c r="G19" s="6">
        <v>500</v>
      </c>
      <c r="H19" s="6">
        <f t="shared" si="0"/>
        <v>342</v>
      </c>
      <c r="I19" s="6">
        <f t="shared" si="1"/>
        <v>92</v>
      </c>
      <c r="J19" s="6">
        <f t="shared" si="2"/>
        <v>31</v>
      </c>
      <c r="K19" s="6">
        <f t="shared" si="3"/>
        <v>68.400000000000006</v>
      </c>
      <c r="L19" s="6" t="str">
        <f t="shared" si="4"/>
        <v>PASS</v>
      </c>
    </row>
    <row r="20" spans="1:12" ht="15.75" x14ac:dyDescent="0.25">
      <c r="A20" s="5" t="s">
        <v>17</v>
      </c>
      <c r="B20" s="6">
        <v>56</v>
      </c>
      <c r="C20" s="6">
        <v>83</v>
      </c>
      <c r="D20" s="6">
        <v>47</v>
      </c>
      <c r="E20" s="6">
        <v>43</v>
      </c>
      <c r="F20" s="6">
        <v>34</v>
      </c>
      <c r="G20" s="6">
        <v>500</v>
      </c>
      <c r="H20" s="6">
        <f t="shared" si="0"/>
        <v>263</v>
      </c>
      <c r="I20" s="6">
        <f t="shared" si="1"/>
        <v>83</v>
      </c>
      <c r="J20" s="6">
        <f t="shared" si="2"/>
        <v>34</v>
      </c>
      <c r="K20" s="6">
        <f t="shared" si="3"/>
        <v>52.6</v>
      </c>
      <c r="L20" s="6" t="str">
        <f t="shared" si="4"/>
        <v>PASS</v>
      </c>
    </row>
    <row r="21" spans="1:12" ht="15.75" x14ac:dyDescent="0.25">
      <c r="A21" s="5" t="s">
        <v>18</v>
      </c>
      <c r="B21" s="6">
        <v>13</v>
      </c>
      <c r="C21" s="6">
        <v>72</v>
      </c>
      <c r="D21" s="6">
        <v>38</v>
      </c>
      <c r="E21" s="6">
        <v>69</v>
      </c>
      <c r="F21" s="6">
        <v>58</v>
      </c>
      <c r="G21" s="6">
        <v>500</v>
      </c>
      <c r="H21" s="6">
        <f t="shared" si="0"/>
        <v>250</v>
      </c>
      <c r="I21" s="6">
        <f t="shared" si="1"/>
        <v>72</v>
      </c>
      <c r="J21" s="6">
        <f t="shared" si="2"/>
        <v>13</v>
      </c>
      <c r="K21" s="6">
        <f t="shared" si="3"/>
        <v>50</v>
      </c>
      <c r="L21" s="6" t="str">
        <f t="shared" si="4"/>
        <v>FAIL</v>
      </c>
    </row>
    <row r="22" spans="1:12" ht="15.75" x14ac:dyDescent="0.25">
      <c r="A22" s="5" t="s">
        <v>19</v>
      </c>
      <c r="B22" s="6">
        <v>96</v>
      </c>
      <c r="C22" s="6">
        <v>73</v>
      </c>
      <c r="D22" s="6">
        <v>59</v>
      </c>
      <c r="E22" s="6">
        <v>84</v>
      </c>
      <c r="F22" s="6">
        <v>93</v>
      </c>
      <c r="G22" s="6">
        <v>500</v>
      </c>
      <c r="H22" s="6">
        <f t="shared" si="0"/>
        <v>405</v>
      </c>
      <c r="I22" s="6">
        <f t="shared" si="1"/>
        <v>96</v>
      </c>
      <c r="J22" s="6">
        <f t="shared" si="2"/>
        <v>59</v>
      </c>
      <c r="K22" s="6">
        <f t="shared" si="3"/>
        <v>81</v>
      </c>
      <c r="L22" s="6" t="str">
        <f t="shared" si="4"/>
        <v>PASS</v>
      </c>
    </row>
    <row r="23" spans="1:12" ht="15.75" x14ac:dyDescent="0.25">
      <c r="A23" s="5" t="s">
        <v>20</v>
      </c>
      <c r="B23" s="6">
        <v>75</v>
      </c>
      <c r="C23" s="6">
        <v>74</v>
      </c>
      <c r="D23" s="6">
        <v>52</v>
      </c>
      <c r="E23" s="6">
        <v>52</v>
      </c>
      <c r="F23" s="6">
        <v>18</v>
      </c>
      <c r="G23" s="6">
        <v>500</v>
      </c>
      <c r="H23" s="6">
        <f t="shared" si="0"/>
        <v>271</v>
      </c>
      <c r="I23" s="6">
        <f t="shared" si="1"/>
        <v>75</v>
      </c>
      <c r="J23" s="6">
        <f t="shared" si="2"/>
        <v>18</v>
      </c>
      <c r="K23" s="6">
        <f t="shared" si="3"/>
        <v>54.2</v>
      </c>
      <c r="L23" s="6" t="str">
        <f t="shared" si="4"/>
        <v>PASS</v>
      </c>
    </row>
    <row r="24" spans="1:12" ht="15.75" x14ac:dyDescent="0.25">
      <c r="A24" s="5" t="s">
        <v>21</v>
      </c>
      <c r="B24" s="6">
        <v>86</v>
      </c>
      <c r="C24" s="6">
        <v>95</v>
      </c>
      <c r="D24" s="6">
        <v>47</v>
      </c>
      <c r="E24" s="6">
        <v>38</v>
      </c>
      <c r="F24" s="6">
        <v>29</v>
      </c>
      <c r="G24" s="6">
        <v>500</v>
      </c>
      <c r="H24" s="6">
        <f t="shared" si="0"/>
        <v>295</v>
      </c>
      <c r="I24" s="6">
        <f t="shared" si="1"/>
        <v>95</v>
      </c>
      <c r="J24" s="6">
        <f t="shared" si="2"/>
        <v>29</v>
      </c>
      <c r="K24" s="6">
        <f t="shared" si="3"/>
        <v>59</v>
      </c>
      <c r="L24" s="6" t="str">
        <f t="shared" si="4"/>
        <v>PASS</v>
      </c>
    </row>
    <row r="25" spans="1:12" ht="15.75" x14ac:dyDescent="0.25">
      <c r="A25" s="5" t="s">
        <v>22</v>
      </c>
      <c r="B25" s="6">
        <v>79</v>
      </c>
      <c r="C25" s="6">
        <v>85</v>
      </c>
      <c r="D25" s="6">
        <v>86</v>
      </c>
      <c r="E25" s="6">
        <v>76</v>
      </c>
      <c r="F25" s="6">
        <v>83</v>
      </c>
      <c r="G25" s="6">
        <v>500</v>
      </c>
      <c r="H25" s="6">
        <f t="shared" si="0"/>
        <v>409</v>
      </c>
      <c r="I25" s="6">
        <f t="shared" si="1"/>
        <v>86</v>
      </c>
      <c r="J25" s="6">
        <f t="shared" si="2"/>
        <v>76</v>
      </c>
      <c r="K25" s="6">
        <f t="shared" si="3"/>
        <v>81.8</v>
      </c>
      <c r="L25" s="6" t="str">
        <f t="shared" si="4"/>
        <v>PASS</v>
      </c>
    </row>
    <row r="26" spans="1:12" ht="15.75" x14ac:dyDescent="0.25">
      <c r="A26" s="5" t="s">
        <v>23</v>
      </c>
      <c r="B26" s="6">
        <v>24</v>
      </c>
      <c r="C26" s="6">
        <v>68</v>
      </c>
      <c r="D26" s="6">
        <v>84</v>
      </c>
      <c r="E26" s="6">
        <v>54</v>
      </c>
      <c r="F26" s="6">
        <v>29</v>
      </c>
      <c r="G26" s="6">
        <v>500</v>
      </c>
      <c r="H26" s="6">
        <f t="shared" si="0"/>
        <v>259</v>
      </c>
      <c r="I26" s="6">
        <f t="shared" si="1"/>
        <v>84</v>
      </c>
      <c r="J26" s="6">
        <f t="shared" si="2"/>
        <v>24</v>
      </c>
      <c r="K26" s="6">
        <f t="shared" si="3"/>
        <v>51.8</v>
      </c>
      <c r="L26" s="6" t="str">
        <f t="shared" si="4"/>
        <v>PASS</v>
      </c>
    </row>
    <row r="27" spans="1:12" ht="15.75" x14ac:dyDescent="0.25">
      <c r="A27" s="5" t="s">
        <v>24</v>
      </c>
      <c r="B27" s="6">
        <v>57</v>
      </c>
      <c r="C27" s="6">
        <v>63</v>
      </c>
      <c r="D27" s="6">
        <v>92</v>
      </c>
      <c r="E27" s="6">
        <v>78</v>
      </c>
      <c r="F27" s="6">
        <v>76</v>
      </c>
      <c r="G27" s="6">
        <v>500</v>
      </c>
      <c r="H27" s="6">
        <f t="shared" si="0"/>
        <v>366</v>
      </c>
      <c r="I27" s="6">
        <f t="shared" si="1"/>
        <v>92</v>
      </c>
      <c r="J27" s="6">
        <f t="shared" si="2"/>
        <v>57</v>
      </c>
      <c r="K27" s="6">
        <f t="shared" si="3"/>
        <v>73.2</v>
      </c>
      <c r="L27" s="6" t="str">
        <f t="shared" si="4"/>
        <v>PASS</v>
      </c>
    </row>
    <row r="28" spans="1:12" ht="15.75" x14ac:dyDescent="0.25">
      <c r="A28" s="5" t="s">
        <v>25</v>
      </c>
      <c r="B28" s="6">
        <v>86</v>
      </c>
      <c r="C28" s="6">
        <v>64</v>
      </c>
      <c r="D28" s="6">
        <v>46</v>
      </c>
      <c r="E28" s="6">
        <v>87</v>
      </c>
      <c r="F28" s="6">
        <v>68</v>
      </c>
      <c r="G28" s="6">
        <v>500</v>
      </c>
      <c r="H28" s="6">
        <f t="shared" si="0"/>
        <v>351</v>
      </c>
      <c r="I28" s="6">
        <f t="shared" si="1"/>
        <v>87</v>
      </c>
      <c r="J28" s="6">
        <f t="shared" si="2"/>
        <v>46</v>
      </c>
      <c r="K28" s="6">
        <f t="shared" si="3"/>
        <v>70.2</v>
      </c>
      <c r="L28" s="6" t="str">
        <f t="shared" si="4"/>
        <v>PASS</v>
      </c>
    </row>
    <row r="29" spans="1:12" ht="15.75" x14ac:dyDescent="0.25">
      <c r="A29" s="5" t="s">
        <v>26</v>
      </c>
      <c r="B29" s="6">
        <v>26</v>
      </c>
      <c r="C29" s="6">
        <v>82</v>
      </c>
      <c r="D29" s="6">
        <v>76</v>
      </c>
      <c r="E29" s="6">
        <v>91</v>
      </c>
      <c r="F29" s="6">
        <v>84</v>
      </c>
      <c r="G29" s="6">
        <v>500</v>
      </c>
      <c r="H29" s="6">
        <f t="shared" si="0"/>
        <v>359</v>
      </c>
      <c r="I29" s="6">
        <f t="shared" si="1"/>
        <v>91</v>
      </c>
      <c r="J29" s="6">
        <f t="shared" si="2"/>
        <v>26</v>
      </c>
      <c r="K29" s="6">
        <f t="shared" si="3"/>
        <v>71.8</v>
      </c>
      <c r="L29" s="6" t="str">
        <f t="shared" si="4"/>
        <v>PASS</v>
      </c>
    </row>
    <row r="30" spans="1:12" ht="15.75" x14ac:dyDescent="0.25">
      <c r="A30" s="5" t="s">
        <v>27</v>
      </c>
      <c r="B30" s="6">
        <v>74</v>
      </c>
      <c r="C30" s="6">
        <v>29</v>
      </c>
      <c r="D30" s="6">
        <v>45</v>
      </c>
      <c r="E30" s="6">
        <v>24</v>
      </c>
      <c r="F30" s="6">
        <v>98</v>
      </c>
      <c r="G30" s="6">
        <v>500</v>
      </c>
      <c r="H30" s="6">
        <f t="shared" si="0"/>
        <v>270</v>
      </c>
      <c r="I30" s="6">
        <f t="shared" si="1"/>
        <v>98</v>
      </c>
      <c r="J30" s="6">
        <f t="shared" si="2"/>
        <v>24</v>
      </c>
      <c r="K30" s="6">
        <f t="shared" si="3"/>
        <v>54</v>
      </c>
      <c r="L30" s="6" t="str">
        <f t="shared" si="4"/>
        <v>PASS</v>
      </c>
    </row>
    <row r="31" spans="1:12" ht="15.75" x14ac:dyDescent="0.25">
      <c r="A31" s="5" t="s">
        <v>28</v>
      </c>
      <c r="B31" s="6">
        <v>69</v>
      </c>
      <c r="C31" s="6">
        <v>30</v>
      </c>
      <c r="D31" s="6">
        <v>69</v>
      </c>
      <c r="E31" s="6">
        <v>56</v>
      </c>
      <c r="F31" s="6">
        <v>96</v>
      </c>
      <c r="G31" s="6">
        <v>500</v>
      </c>
      <c r="H31" s="6">
        <f t="shared" si="0"/>
        <v>320</v>
      </c>
      <c r="I31" s="6">
        <f t="shared" si="1"/>
        <v>96</v>
      </c>
      <c r="J31" s="6">
        <f t="shared" si="2"/>
        <v>30</v>
      </c>
      <c r="K31" s="6">
        <f t="shared" si="3"/>
        <v>64</v>
      </c>
      <c r="L31" s="6" t="str">
        <f t="shared" si="4"/>
        <v>PASS</v>
      </c>
    </row>
    <row r="32" spans="1:12" ht="15.75" x14ac:dyDescent="0.25">
      <c r="A32" s="5" t="s">
        <v>29</v>
      </c>
      <c r="B32" s="6">
        <v>19</v>
      </c>
      <c r="C32" s="6">
        <v>56</v>
      </c>
      <c r="D32" s="6">
        <v>90</v>
      </c>
      <c r="E32" s="6">
        <v>87</v>
      </c>
      <c r="F32" s="6">
        <v>69</v>
      </c>
      <c r="G32" s="6">
        <v>500</v>
      </c>
      <c r="H32" s="6">
        <f t="shared" si="0"/>
        <v>321</v>
      </c>
      <c r="I32" s="6">
        <f t="shared" si="1"/>
        <v>90</v>
      </c>
      <c r="J32" s="6">
        <f t="shared" si="2"/>
        <v>19</v>
      </c>
      <c r="K32" s="6">
        <f t="shared" si="3"/>
        <v>64.2</v>
      </c>
      <c r="L32" s="6" t="str">
        <f t="shared" si="4"/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uliman</dc:creator>
  <cp:lastModifiedBy>zain uliman</cp:lastModifiedBy>
  <dcterms:created xsi:type="dcterms:W3CDTF">2025-12-06T13:26:35Z</dcterms:created>
  <dcterms:modified xsi:type="dcterms:W3CDTF">2025-12-06T14:24:06Z</dcterms:modified>
</cp:coreProperties>
</file>